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glads\Downloads\"/>
    </mc:Choice>
  </mc:AlternateContent>
  <xr:revisionPtr revIDLastSave="0" documentId="8_{C02FD0DF-481D-4E72-895A-D6E0267B155E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Inputs" sheetId="1" r:id="rId1"/>
    <sheet name="Outputs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2" l="1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<sst xmlns="http://schemas.openxmlformats.org/spreadsheetml/2006/main" count="88" uniqueCount="79">
  <si>
    <t>Parameter</t>
  </si>
  <si>
    <t>Value</t>
  </si>
  <si>
    <t>Unit</t>
  </si>
  <si>
    <t>Notes</t>
  </si>
  <si>
    <t>Equipment model</t>
  </si>
  <si>
    <t>Antminer S19j Pro (100 TH/s, 3050 W)</t>
  </si>
  <si>
    <t>Escolhido para o exercício</t>
  </si>
  <si>
    <t>Equipment price (BRL)</t>
  </si>
  <si>
    <t>BRL</t>
  </si>
  <si>
    <t>Preço do exercício original</t>
  </si>
  <si>
    <t>ASIC hashrate</t>
  </si>
  <si>
    <t>TH/s</t>
  </si>
  <si>
    <t>Taxa nominal</t>
  </si>
  <si>
    <t>Power draw</t>
  </si>
  <si>
    <t>W</t>
  </si>
  <si>
    <t>Consumo típico do S19j Pro</t>
  </si>
  <si>
    <t>Pool fee</t>
  </si>
  <si>
    <t>Percentual (ex.: 0,02 = 2%)</t>
  </si>
  <si>
    <t>Energy price</t>
  </si>
  <si>
    <t>BRL/kWh</t>
  </si>
  <si>
    <t>Energia solar + injeção (~média do exercício)</t>
  </si>
  <si>
    <t>FX rate</t>
  </si>
  <si>
    <t>BRL/USD</t>
  </si>
  <si>
    <t>Câmbio fixo do exercício</t>
  </si>
  <si>
    <t>BTC price</t>
  </si>
  <si>
    <t>USD/BTC</t>
  </si>
  <si>
    <t>Ajuste conforme desejar</t>
  </si>
  <si>
    <t>Network hashrate</t>
  </si>
  <si>
    <t>H/s</t>
  </si>
  <si>
    <t>Hash rate total da rede (ex.: 1,10 ZH/s)</t>
  </si>
  <si>
    <t>Avg tx per block</t>
  </si>
  <si>
    <t>tx</t>
  </si>
  <si>
    <t>Média aproximada</t>
  </si>
  <si>
    <t>Avg fee per tx</t>
  </si>
  <si>
    <t>USD/tx</t>
  </si>
  <si>
    <t>Taxa média por transação</t>
  </si>
  <si>
    <t>Block subsidy</t>
  </si>
  <si>
    <t>BTC/bloco</t>
  </si>
  <si>
    <t>Pós-halving 2024</t>
  </si>
  <si>
    <t>Blocks per day</t>
  </si>
  <si>
    <t>blocos/dia</t>
  </si>
  <si>
    <t>Metric</t>
  </si>
  <si>
    <t>Formula / Reference</t>
  </si>
  <si>
    <t>ASIC hashrate (H/s)</t>
  </si>
  <si>
    <t>B4 × 1e12</t>
  </si>
  <si>
    <t>Participação no hashrate</t>
  </si>
  <si>
    <t>asic_hs / network hashrate</t>
  </si>
  <si>
    <t>Fees por bloco (USD)</t>
  </si>
  <si>
    <t>USD/bloco</t>
  </si>
  <si>
    <t>B11 × B12</t>
  </si>
  <si>
    <t>Fees por bloco (BTC)</t>
  </si>
  <si>
    <t>fees_usd / B9</t>
  </si>
  <si>
    <t>Recompensa por bloco</t>
  </si>
  <si>
    <t>B13 + fees_btc</t>
  </si>
  <si>
    <t>BTC por dia</t>
  </si>
  <si>
    <t>BTC/dia</t>
  </si>
  <si>
    <t>B14 × recompensa × participação</t>
  </si>
  <si>
    <t>Receita (USD/dia)</t>
  </si>
  <si>
    <t>USD/dia</t>
  </si>
  <si>
    <t>btc_dia × B9</t>
  </si>
  <si>
    <t>Receita (BRL/dia)</t>
  </si>
  <si>
    <t>BRL/dia</t>
  </si>
  <si>
    <t>USD × B8</t>
  </si>
  <si>
    <t>Taxa do pool (BRL/dia)</t>
  </si>
  <si>
    <t>receita_brl × B6</t>
  </si>
  <si>
    <t>Receita líquida antes da energia</t>
  </si>
  <si>
    <t>Consumo de energia</t>
  </si>
  <si>
    <t>kWh/dia</t>
  </si>
  <si>
    <t>B5/1000 × 24</t>
  </si>
  <si>
    <t>Custo de energia (BRL/dia)</t>
  </si>
  <si>
    <t>energia_kWh × B7</t>
  </si>
  <si>
    <t>Lucro líquido (BRL/dia)</t>
  </si>
  <si>
    <t>receita_liq - energia</t>
  </si>
  <si>
    <t>Payback (dias)</t>
  </si>
  <si>
    <t>dias</t>
  </si>
  <si>
    <t>B3 / lucro_dia</t>
  </si>
  <si>
    <t>Payback (anos)</t>
  </si>
  <si>
    <t>anos</t>
  </si>
  <si>
    <t>dias / 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</si>
</sst>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0"/>
    <numFmt numFmtId="165" formatCode="0.00000000"/>
    <numFmt numFmtId="166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EF7FF"/>
        <bgColor rgb="FFEEF7FF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2" fontId="0" fillId="0" borderId="0" xfId="0" applyNumberFormat="1"/>
    <xf numFmtId="0" fontId="0" fillId="0" borderId="1" xfId="0" applyBorder="1"/>
    <xf numFmtId="164" fontId="0" fillId="0" borderId="1" xfId="0" applyNumberFormat="1" applyBorder="1"/>
    <xf numFmtId="4" fontId="0" fillId="0" borderId="1" xfId="0" applyNumberFormat="1" applyBorder="1"/>
    <xf numFmtId="165" fontId="0" fillId="0" borderId="1" xfId="0" applyNumberFormat="1" applyBorder="1"/>
    <xf numFmtId="2" fontId="0" fillId="0" borderId="1" xfId="0" applyNumberFormat="1" applyBorder="1"/>
    <xf numFmtId="1" fontId="0" fillId="0" borderId="1" xfId="0" applyNumberFormat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workbookViewId="0">
      <selection activeCell="B14" sqref="B14"/>
    </sheetView>
  </sheetViews>
  <sheetFormatPr defaultRowHeight="14.5" x14ac:dyDescent="0.35"/>
  <cols>
    <col min="1" max="1" width="26" customWidth="1"/>
    <col min="2" max="2" width="32.453125" bestFit="1" customWidth="1"/>
    <col min="3" max="3" width="14" customWidth="1"/>
    <col min="4" max="4" width="48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s="2" t="s">
        <v>5</v>
      </c>
      <c r="D2" t="s">
        <v>6</v>
      </c>
    </row>
    <row r="3" spans="1:4" x14ac:dyDescent="0.35">
      <c r="A3" t="s">
        <v>7</v>
      </c>
      <c r="B3" s="2">
        <v>11000</v>
      </c>
      <c r="C3" t="s">
        <v>8</v>
      </c>
      <c r="D3" t="s">
        <v>9</v>
      </c>
    </row>
    <row r="4" spans="1:4" x14ac:dyDescent="0.35">
      <c r="A4" t="s">
        <v>10</v>
      </c>
      <c r="B4" s="2">
        <v>120</v>
      </c>
      <c r="C4" t="s">
        <v>11</v>
      </c>
      <c r="D4" t="s">
        <v>12</v>
      </c>
    </row>
    <row r="5" spans="1:4" x14ac:dyDescent="0.35">
      <c r="A5" t="s">
        <v>13</v>
      </c>
      <c r="B5" s="2">
        <v>3050</v>
      </c>
      <c r="C5" t="s">
        <v>14</v>
      </c>
      <c r="D5" t="s">
        <v>15</v>
      </c>
    </row>
    <row r="6" spans="1:4" x14ac:dyDescent="0.35">
      <c r="A6" t="s">
        <v>16</v>
      </c>
      <c r="B6" s="2">
        <v>0.02</v>
      </c>
      <c r="D6" t="s">
        <v>17</v>
      </c>
    </row>
    <row r="7" spans="1:4" x14ac:dyDescent="0.35">
      <c r="A7" t="s">
        <v>18</v>
      </c>
      <c r="B7" s="2">
        <v>0.2</v>
      </c>
      <c r="C7" t="s">
        <v>19</v>
      </c>
      <c r="D7" t="s">
        <v>20</v>
      </c>
    </row>
    <row r="8" spans="1:4" x14ac:dyDescent="0.35">
      <c r="A8" t="s">
        <v>21</v>
      </c>
      <c r="B8" s="2">
        <v>5.5</v>
      </c>
      <c r="C8" t="s">
        <v>22</v>
      </c>
      <c r="D8" t="s">
        <v>23</v>
      </c>
    </row>
    <row r="9" spans="1:4" x14ac:dyDescent="0.35">
      <c r="A9" t="s">
        <v>24</v>
      </c>
      <c r="B9" s="2">
        <v>115000</v>
      </c>
      <c r="C9" t="s">
        <v>25</v>
      </c>
      <c r="D9" t="s">
        <v>26</v>
      </c>
    </row>
    <row r="10" spans="1:4" x14ac:dyDescent="0.35">
      <c r="A10" t="s">
        <v>27</v>
      </c>
      <c r="B10" s="2">
        <v>1.1E+21</v>
      </c>
      <c r="C10" t="s">
        <v>28</v>
      </c>
      <c r="D10" t="s">
        <v>29</v>
      </c>
    </row>
    <row r="11" spans="1:4" x14ac:dyDescent="0.35">
      <c r="A11" t="s">
        <v>30</v>
      </c>
      <c r="B11" s="2">
        <v>3500</v>
      </c>
      <c r="C11" t="s">
        <v>31</v>
      </c>
      <c r="D11" t="s">
        <v>32</v>
      </c>
    </row>
    <row r="12" spans="1:4" x14ac:dyDescent="0.35">
      <c r="A12" t="s">
        <v>33</v>
      </c>
      <c r="B12" s="2">
        <v>0.7</v>
      </c>
      <c r="C12" t="s">
        <v>34</v>
      </c>
      <c r="D12" t="s">
        <v>35</v>
      </c>
    </row>
    <row r="13" spans="1:4" x14ac:dyDescent="0.35">
      <c r="A13" t="s">
        <v>36</v>
      </c>
      <c r="B13" s="9">
        <v>3.125</v>
      </c>
      <c r="C13" t="s">
        <v>37</v>
      </c>
      <c r="D13" t="s">
        <v>38</v>
      </c>
    </row>
    <row r="14" spans="1:4" x14ac:dyDescent="0.35">
      <c r="A14" t="s">
        <v>39</v>
      </c>
      <c r="B14" s="2">
        <v>144</v>
      </c>
      <c r="C14" t="s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tabSelected="1" workbookViewId="0">
      <selection activeCell="B17" sqref="B17"/>
    </sheetView>
  </sheetViews>
  <sheetFormatPr defaultRowHeight="14.5" x14ac:dyDescent="0.35"/>
  <cols>
    <col min="1" max="1" width="34" customWidth="1"/>
    <col min="2" max="2" width="24" customWidth="1"/>
    <col min="3" max="3" width="12" customWidth="1"/>
    <col min="4" max="4" width="40" customWidth="1"/>
  </cols>
  <sheetData>
    <row r="1" spans="1:4" x14ac:dyDescent="0.35">
      <c r="A1" s="1" t="s">
        <v>41</v>
      </c>
      <c r="B1" s="1" t="s">
        <v>1</v>
      </c>
      <c r="C1" s="1" t="s">
        <v>2</v>
      </c>
      <c r="D1" s="1" t="s">
        <v>42</v>
      </c>
    </row>
    <row r="2" spans="1:4" x14ac:dyDescent="0.35">
      <c r="A2" s="3" t="s">
        <v>43</v>
      </c>
      <c r="B2" s="3">
        <f>Inputs!B4*POWER(10,12)</f>
        <v>120000000000000</v>
      </c>
      <c r="C2" s="3" t="s">
        <v>28</v>
      </c>
      <c r="D2" s="3" t="s">
        <v>44</v>
      </c>
    </row>
    <row r="3" spans="1:4" x14ac:dyDescent="0.35">
      <c r="A3" s="3" t="s">
        <v>45</v>
      </c>
      <c r="B3" s="4">
        <f>B2/Inputs!B10</f>
        <v>1.0909090909090909E-7</v>
      </c>
      <c r="C3" s="3"/>
      <c r="D3" s="3" t="s">
        <v>46</v>
      </c>
    </row>
    <row r="4" spans="1:4" x14ac:dyDescent="0.35">
      <c r="A4" s="3" t="s">
        <v>47</v>
      </c>
      <c r="B4" s="5">
        <f>Inputs!B11*Inputs!B12</f>
        <v>2450</v>
      </c>
      <c r="C4" s="3" t="s">
        <v>48</v>
      </c>
      <c r="D4" s="3" t="s">
        <v>49</v>
      </c>
    </row>
    <row r="5" spans="1:4" x14ac:dyDescent="0.35">
      <c r="A5" s="3" t="s">
        <v>50</v>
      </c>
      <c r="B5" s="6">
        <f>B4/Inputs!B9</f>
        <v>2.1304347826086957E-2</v>
      </c>
      <c r="C5" s="3" t="s">
        <v>37</v>
      </c>
      <c r="D5" s="3" t="s">
        <v>51</v>
      </c>
    </row>
    <row r="6" spans="1:4" x14ac:dyDescent="0.35">
      <c r="A6" s="3" t="s">
        <v>52</v>
      </c>
      <c r="B6" s="6">
        <f>B5+Inputs!B13</f>
        <v>3.1463043478260868</v>
      </c>
      <c r="C6" s="3" t="s">
        <v>37</v>
      </c>
      <c r="D6" s="3" t="s">
        <v>53</v>
      </c>
    </row>
    <row r="7" spans="1:4" x14ac:dyDescent="0.35">
      <c r="A7" s="3" t="s">
        <v>54</v>
      </c>
      <c r="B7" s="6">
        <f>B6*B3*Inputs!B14</f>
        <v>4.9425581027667984E-5</v>
      </c>
      <c r="C7" s="3" t="s">
        <v>55</v>
      </c>
      <c r="D7" s="3" t="s">
        <v>56</v>
      </c>
    </row>
    <row r="8" spans="1:4" x14ac:dyDescent="0.35">
      <c r="A8" s="3" t="s">
        <v>57</v>
      </c>
      <c r="B8" s="5">
        <f>B7*Inputs!B9</f>
        <v>5.6839418181818182</v>
      </c>
      <c r="C8" s="3" t="s">
        <v>58</v>
      </c>
      <c r="D8" s="3" t="s">
        <v>59</v>
      </c>
    </row>
    <row r="9" spans="1:4" x14ac:dyDescent="0.35">
      <c r="A9" s="3" t="s">
        <v>60</v>
      </c>
      <c r="B9" s="5">
        <f>B8*Inputs!B8</f>
        <v>31.261679999999998</v>
      </c>
      <c r="C9" s="3" t="s">
        <v>61</v>
      </c>
      <c r="D9" s="3" t="s">
        <v>62</v>
      </c>
    </row>
    <row r="10" spans="1:4" x14ac:dyDescent="0.35">
      <c r="A10" s="3" t="s">
        <v>63</v>
      </c>
      <c r="B10" s="5">
        <f>B9*Inputs!B6</f>
        <v>0.62523359999999994</v>
      </c>
      <c r="C10" s="3" t="s">
        <v>61</v>
      </c>
      <c r="D10" s="3" t="s">
        <v>64</v>
      </c>
    </row>
    <row r="11" spans="1:4" x14ac:dyDescent="0.35">
      <c r="A11" s="3" t="s">
        <v>65</v>
      </c>
      <c r="B11" s="5">
        <f>B9-B10</f>
        <v>30.636446399999997</v>
      </c>
      <c r="C11" s="3" t="s">
        <v>61</v>
      </c>
      <c r="D11" s="3"/>
    </row>
    <row r="12" spans="1:4" x14ac:dyDescent="0.35">
      <c r="A12" s="3" t="s">
        <v>66</v>
      </c>
      <c r="B12" s="7">
        <f>(Inputs!B5/1000*24)</f>
        <v>73.199999999999989</v>
      </c>
      <c r="C12" s="3" t="s">
        <v>67</v>
      </c>
      <c r="D12" s="3" t="s">
        <v>68</v>
      </c>
    </row>
    <row r="13" spans="1:4" x14ac:dyDescent="0.35">
      <c r="A13" s="3" t="s">
        <v>69</v>
      </c>
      <c r="B13" s="5">
        <f>B12*Inputs!B7</f>
        <v>14.639999999999999</v>
      </c>
      <c r="C13" s="3" t="s">
        <v>61</v>
      </c>
      <c r="D13" s="3" t="s">
        <v>70</v>
      </c>
    </row>
    <row r="14" spans="1:4" x14ac:dyDescent="0.35">
      <c r="A14" s="3" t="s">
        <v>71</v>
      </c>
      <c r="B14" s="5">
        <f>B11-B13</f>
        <v>15.996446399999998</v>
      </c>
      <c r="C14" s="3" t="s">
        <v>61</v>
      </c>
      <c r="D14" s="3" t="s">
        <v>72</v>
      </c>
    </row>
    <row r="15" spans="1:4" x14ac:dyDescent="0.35">
      <c r="A15" s="3" t="s">
        <v>73</v>
      </c>
      <c r="B15" s="8">
        <f>Inputs!B3/Outputs!B14</f>
        <v>687.65272767081581</v>
      </c>
      <c r="C15" s="3" t="s">
        <v>74</v>
      </c>
      <c r="D15" s="3" t="s">
        <v>75</v>
      </c>
    </row>
    <row r="16" spans="1:4" x14ac:dyDescent="0.35">
      <c r="A16" s="3" t="s">
        <v>76</v>
      </c>
      <c r="B16" s="7">
        <f>B15/365</f>
        <v>1.8839800758104543</v>
      </c>
      <c r="C16" s="3" t="s">
        <v>77</v>
      </c>
      <c r="D16" s="3" t="s">
        <v>78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5aee72d-2f82-48e1-9078-193c2d8a0bda}" enabled="1" method="Standard" siteId="{7e2324c6-6925-427e-b56d-4e6eda16752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Gladstone Moises Arantes Junior</cp:lastModifiedBy>
  <dcterms:created xsi:type="dcterms:W3CDTF">2025-09-15T21:05:08Z</dcterms:created>
  <dcterms:modified xsi:type="dcterms:W3CDTF">2025-09-15T22:41:21Z</dcterms:modified>
</cp:coreProperties>
</file>